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0"/>
  <workbookPr filterPrivacy="1"/>
  <xr:revisionPtr revIDLastSave="0" documentId="8_{6C4ED788-729B-1546-A2C6-05478C2EE4CC}" xr6:coauthVersionLast="47" xr6:coauthVersionMax="47" xr10:uidLastSave="{00000000-0000-0000-0000-000000000000}"/>
  <bookViews>
    <workbookView xWindow="0" yWindow="660" windowWidth="29400" windowHeight="18460" activeTab="2" xr2:uid="{00000000-000D-0000-FFFF-FFFF00000000}"/>
  </bookViews>
  <sheets>
    <sheet name="Programs" sheetId="5" r:id="rId1"/>
    <sheet name="CONCAT" sheetId="8" r:id="rId2"/>
    <sheet name="ProgramBE" sheetId="7" r:id="rId3"/>
    <sheet name="Day Care" sheetId="6" r:id="rId4"/>
    <sheet name="Fees List" sheetId="4" r:id="rId5"/>
  </sheets>
  <definedNames>
    <definedName name="Age">'Day Care'!$B$4:$B$23</definedName>
    <definedName name="Fee">'Day Care'!$C$4:$C$23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7" l="1"/>
  <c r="F6" i="6"/>
  <c r="F5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4" i="6"/>
  <c r="G12" i="7"/>
  <c r="H12" i="7"/>
  <c r="G13" i="7"/>
  <c r="H13" i="7"/>
  <c r="G14" i="7"/>
  <c r="H14" i="7" s="1"/>
  <c r="G15" i="7"/>
  <c r="H15" i="7"/>
  <c r="G16" i="7"/>
  <c r="H16" i="7"/>
  <c r="G17" i="7"/>
  <c r="H17" i="7"/>
  <c r="G18" i="7"/>
  <c r="H18" i="7"/>
  <c r="G19" i="7"/>
  <c r="H19" i="7"/>
  <c r="G20" i="7"/>
  <c r="H20" i="7"/>
  <c r="H11" i="7"/>
  <c r="G11" i="7"/>
  <c r="C12" i="7"/>
  <c r="C11" i="7"/>
  <c r="B11" i="7"/>
  <c r="B7" i="8"/>
  <c r="B8" i="8"/>
  <c r="B9" i="8"/>
  <c r="B10" i="8"/>
  <c r="B11" i="8"/>
  <c r="B12" i="8"/>
  <c r="B13" i="8"/>
  <c r="B14" i="8"/>
  <c r="B6" i="8"/>
  <c r="B19" i="5"/>
  <c r="G7" i="5"/>
  <c r="G8" i="5"/>
  <c r="G9" i="5"/>
  <c r="G10" i="5"/>
  <c r="G11" i="5"/>
  <c r="G12" i="5"/>
  <c r="G13" i="5"/>
  <c r="G14" i="5"/>
  <c r="G6" i="5"/>
  <c r="L7" i="5" s="1"/>
  <c r="G15" i="5"/>
  <c r="E15" i="5"/>
  <c r="F15" i="5"/>
  <c r="D15" i="5"/>
  <c r="L8" i="5"/>
  <c r="L9" i="5"/>
  <c r="L10" i="5"/>
  <c r="L11" i="5"/>
  <c r="L12" i="5"/>
  <c r="L13" i="5"/>
  <c r="L14" i="5"/>
  <c r="L15" i="5"/>
  <c r="C7" i="5"/>
  <c r="C8" i="5"/>
  <c r="C9" i="5"/>
  <c r="C10" i="5"/>
  <c r="C11" i="5"/>
  <c r="C12" i="5"/>
  <c r="C13" i="5"/>
  <c r="C14" i="5"/>
  <c r="C6" i="5"/>
  <c r="C15" i="7" l="1"/>
  <c r="C13" i="7"/>
  <c r="I12" i="7"/>
  <c r="I14" i="7"/>
  <c r="I15" i="7"/>
  <c r="I16" i="7"/>
  <c r="I17" i="7"/>
  <c r="I18" i="7"/>
  <c r="I19" i="7"/>
  <c r="I20" i="7"/>
  <c r="F11" i="7"/>
  <c r="I11" i="7" s="1"/>
  <c r="C17" i="7"/>
  <c r="B13" i="7"/>
  <c r="L16" i="5"/>
</calcChain>
</file>

<file path=xl/sharedStrings.xml><?xml version="1.0" encoding="utf-8"?>
<sst xmlns="http://schemas.openxmlformats.org/spreadsheetml/2006/main" count="105" uniqueCount="66">
  <si>
    <t>Hamilton Civic Center</t>
  </si>
  <si>
    <t>Session Name</t>
  </si>
  <si>
    <t>Fee</t>
  </si>
  <si>
    <t>Cooking for Health</t>
  </si>
  <si>
    <t>Total</t>
  </si>
  <si>
    <t>Total Fees Collected</t>
  </si>
  <si>
    <t xml:space="preserve">Total </t>
  </si>
  <si>
    <t>Age</t>
  </si>
  <si>
    <t>Daily Fee</t>
  </si>
  <si>
    <t>1 to 3</t>
  </si>
  <si>
    <t>4 and up</t>
  </si>
  <si>
    <t>Book Worms</t>
  </si>
  <si>
    <t>Lapidary Arts</t>
  </si>
  <si>
    <t>Ceramics</t>
  </si>
  <si>
    <t>Drop-In Fitness</t>
  </si>
  <si>
    <t>Virtual Museums</t>
  </si>
  <si>
    <t>Writing Workshop</t>
  </si>
  <si>
    <t>Latin Dance</t>
  </si>
  <si>
    <t>Gardening Tips</t>
  </si>
  <si>
    <t>Community Program Attendance</t>
  </si>
  <si>
    <t>April</t>
  </si>
  <si>
    <t>May</t>
  </si>
  <si>
    <t>June</t>
  </si>
  <si>
    <t>BreakEven Point</t>
  </si>
  <si>
    <t>Per Participant</t>
  </si>
  <si>
    <t>Civic Center Fixed Costs</t>
  </si>
  <si>
    <t>Surplus or Deficit</t>
  </si>
  <si>
    <t># of Participants</t>
  </si>
  <si>
    <t>Fixed Costs</t>
  </si>
  <si>
    <t>Community Program Break Even Fee Analysis</t>
  </si>
  <si>
    <t>Suggested Fee</t>
  </si>
  <si>
    <t>Fees Generated</t>
  </si>
  <si>
    <t>Program</t>
  </si>
  <si>
    <t>Proposed Fee</t>
  </si>
  <si>
    <t>Instructor/Material Cost</t>
  </si>
  <si>
    <t>Total at This Level</t>
  </si>
  <si>
    <t>Summer Day Care Program</t>
  </si>
  <si>
    <t>ID</t>
  </si>
  <si>
    <t>HCC 001</t>
  </si>
  <si>
    <t>HCC 002</t>
  </si>
  <si>
    <t>HCC 003</t>
  </si>
  <si>
    <t>HCC 004</t>
  </si>
  <si>
    <t>HCC 005</t>
  </si>
  <si>
    <t>HCC 006</t>
  </si>
  <si>
    <t>HCC 007</t>
  </si>
  <si>
    <t>HCC 008</t>
  </si>
  <si>
    <t>HCC 009</t>
  </si>
  <si>
    <t>HCC 010</t>
  </si>
  <si>
    <t>HCC 011</t>
  </si>
  <si>
    <t>HCC 012</t>
  </si>
  <si>
    <t>HCC 013</t>
  </si>
  <si>
    <t>HCC 014</t>
  </si>
  <si>
    <t>HCC 015</t>
  </si>
  <si>
    <t>HCC 016</t>
  </si>
  <si>
    <t>HCC 017</t>
  </si>
  <si>
    <t>HCC 018</t>
  </si>
  <si>
    <t>HCC 019</t>
  </si>
  <si>
    <t>HCC 020</t>
  </si>
  <si>
    <t>Fees by Age Group</t>
  </si>
  <si>
    <t>Participants</t>
  </si>
  <si>
    <t>Participants Needed at Each Fee Level</t>
  </si>
  <si>
    <t>Sentence for Online Brochure</t>
  </si>
  <si>
    <t>Script for Web Site Pop-ups</t>
  </si>
  <si>
    <r>
      <t>Each sentence should read "</t>
    </r>
    <r>
      <rPr>
        <i/>
        <sz val="11"/>
        <rFont val="Trebuchet MS"/>
        <family val="2"/>
        <scheme val="minor"/>
      </rPr>
      <t>Program Name</t>
    </r>
    <r>
      <rPr>
        <sz val="11"/>
        <rFont val="Trebuchet MS"/>
        <family val="2"/>
        <scheme val="minor"/>
      </rPr>
      <t xml:space="preserve"> had </t>
    </r>
    <r>
      <rPr>
        <i/>
        <sz val="11"/>
        <rFont val="Trebuchet MS"/>
        <family val="2"/>
        <scheme val="minor"/>
      </rPr>
      <t>NN</t>
    </r>
    <r>
      <rPr>
        <sz val="11"/>
        <rFont val="Trebuchet MS"/>
        <family val="2"/>
        <scheme val="minor"/>
      </rPr>
      <t xml:space="preserve"> participants."</t>
    </r>
  </si>
  <si>
    <r>
      <t xml:space="preserve">Pick up the actual number from the </t>
    </r>
    <r>
      <rPr>
        <b/>
        <sz val="11"/>
        <rFont val="Trebuchet MS"/>
        <family val="2"/>
        <scheme val="minor"/>
      </rPr>
      <t>Programs</t>
    </r>
    <r>
      <rPr>
        <sz val="11"/>
        <rFont val="Trebuchet MS"/>
        <family val="2"/>
        <scheme val="minor"/>
      </rPr>
      <t xml:space="preserve"> sheet.</t>
    </r>
  </si>
  <si>
    <t>Total Fixed + Instructor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</si>
</sst>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&quot;$&quot;#,##0"/>
    <numFmt numFmtId="170" formatCode="[$-409]h:mm:ss\ AM/PM;@"/>
  </numFmts>
  <fonts count="20" x14ac:knownFonts="1">
    <font>
      <sz val="10"/>
      <name val="Arial"/>
    </font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b/>
      <sz val="11"/>
      <name val="Trebuchet MS"/>
      <family val="2"/>
      <scheme val="minor"/>
    </font>
    <font>
      <sz val="10"/>
      <name val="Trebuchet MS"/>
      <family val="2"/>
      <scheme val="minor"/>
    </font>
    <font>
      <b/>
      <sz val="10"/>
      <name val="Trebuchet MS"/>
      <family val="2"/>
      <scheme val="minor"/>
    </font>
    <font>
      <b/>
      <i/>
      <sz val="16"/>
      <color theme="1"/>
      <name val="Trebuchet MS"/>
      <family val="2"/>
      <scheme val="minor"/>
    </font>
    <font>
      <i/>
      <sz val="11"/>
      <color theme="1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i/>
      <sz val="16"/>
      <name val="Trebuchet MS"/>
      <family val="2"/>
      <scheme val="minor"/>
    </font>
    <font>
      <i/>
      <sz val="18"/>
      <color theme="1"/>
      <name val="Trebuchet MS"/>
      <family val="2"/>
      <scheme val="minor"/>
    </font>
    <font>
      <sz val="18"/>
      <color theme="1"/>
      <name val="Trebuchet MS"/>
      <family val="2"/>
      <scheme val="minor"/>
    </font>
    <font>
      <sz val="8"/>
      <name val="Arial"/>
      <family val="2"/>
    </font>
    <font>
      <b/>
      <i/>
      <sz val="18"/>
      <color theme="1"/>
      <name val="Trebuchet MS"/>
      <family val="2"/>
      <scheme val="minor"/>
    </font>
    <font>
      <i/>
      <sz val="11"/>
      <name val="Trebuchet MS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ashDotDot">
        <color auto="1"/>
      </top>
      <bottom style="dashDotDot">
        <color auto="1"/>
      </bottom>
      <diagonal/>
    </border>
    <border>
      <left style="thin">
        <color auto="1"/>
      </left>
      <right style="thin">
        <color auto="1"/>
      </right>
      <top style="dashDot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ashDotDot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 style="hair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auto="1"/>
      </right>
      <top/>
      <bottom style="hair">
        <color auto="1"/>
      </bottom>
      <diagonal/>
    </border>
    <border>
      <left style="medium">
        <color theme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theme="1"/>
      </left>
      <right style="thin">
        <color auto="1"/>
      </right>
      <top style="hair">
        <color auto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hair">
        <color indexed="64"/>
      </top>
      <bottom style="medium">
        <color indexed="64"/>
      </bottom>
      <diagonal/>
    </border>
  </borders>
  <cellStyleXfs count="6">
    <xf numFmtId="0" fontId="0" fillId="0" borderId="0"/>
    <xf numFmtId="44" fontId="4" fillId="0" borderId="0" applyFont="0" applyFill="0" applyBorder="0" applyAlignment="0" applyProtection="0"/>
    <xf numFmtId="0" fontId="3" fillId="0" borderId="0">
      <alignment vertical="center"/>
    </xf>
    <xf numFmtId="0" fontId="5" fillId="0" borderId="0"/>
    <xf numFmtId="43" fontId="4" fillId="0" borderId="0" applyFont="0" applyFill="0" applyBorder="0" applyAlignment="0" applyProtection="0"/>
    <xf numFmtId="0" fontId="1" fillId="0" borderId="0"/>
  </cellStyleXfs>
  <cellXfs count="82">
    <xf numFmtId="0" fontId="0" fillId="0" borderId="0" xfId="0"/>
    <xf numFmtId="0" fontId="6" fillId="0" borderId="0" xfId="0" applyFont="1"/>
    <xf numFmtId="0" fontId="6" fillId="0" borderId="2" xfId="0" applyFont="1" applyBorder="1"/>
    <xf numFmtId="0" fontId="9" fillId="0" borderId="0" xfId="0" applyFont="1"/>
    <xf numFmtId="0" fontId="6" fillId="0" borderId="5" xfId="3" applyFont="1" applyBorder="1"/>
    <xf numFmtId="0" fontId="6" fillId="0" borderId="6" xfId="3" applyFont="1" applyBorder="1"/>
    <xf numFmtId="0" fontId="6" fillId="0" borderId="7" xfId="3" applyFont="1" applyBorder="1"/>
    <xf numFmtId="0" fontId="6" fillId="0" borderId="0" xfId="3" applyFont="1"/>
    <xf numFmtId="0" fontId="6" fillId="0" borderId="8" xfId="3" applyFont="1" applyBorder="1"/>
    <xf numFmtId="0" fontId="11" fillId="0" borderId="0" xfId="3" applyFont="1" applyAlignment="1">
      <alignment horizontal="centerContinuous"/>
    </xf>
    <xf numFmtId="0" fontId="12" fillId="0" borderId="0" xfId="3" applyFont="1" applyAlignment="1">
      <alignment horizontal="centerContinuous"/>
    </xf>
    <xf numFmtId="164" fontId="2" fillId="0" borderId="0" xfId="4" applyNumberFormat="1" applyFont="1" applyBorder="1" applyAlignment="1">
      <alignment horizontal="centerContinuous"/>
    </xf>
    <xf numFmtId="164" fontId="6" fillId="0" borderId="9" xfId="4" applyNumberFormat="1" applyFont="1" applyBorder="1"/>
    <xf numFmtId="164" fontId="8" fillId="0" borderId="9" xfId="4" applyNumberFormat="1" applyFont="1" applyBorder="1"/>
    <xf numFmtId="0" fontId="6" fillId="0" borderId="10" xfId="3" applyFont="1" applyBorder="1"/>
    <xf numFmtId="0" fontId="6" fillId="0" borderId="11" xfId="4" applyNumberFormat="1" applyFont="1" applyBorder="1"/>
    <xf numFmtId="0" fontId="6" fillId="0" borderId="12" xfId="4" applyNumberFormat="1" applyFont="1" applyBorder="1"/>
    <xf numFmtId="0" fontId="6" fillId="0" borderId="13" xfId="3" applyFont="1" applyBorder="1"/>
    <xf numFmtId="7" fontId="6" fillId="0" borderId="14" xfId="1" applyNumberFormat="1" applyFont="1" applyBorder="1"/>
    <xf numFmtId="0" fontId="6" fillId="0" borderId="14" xfId="4" applyNumberFormat="1" applyFont="1" applyBorder="1"/>
    <xf numFmtId="0" fontId="6" fillId="0" borderId="16" xfId="3" applyFont="1" applyBorder="1"/>
    <xf numFmtId="0" fontId="6" fillId="0" borderId="17" xfId="3" applyFont="1" applyBorder="1"/>
    <xf numFmtId="164" fontId="6" fillId="0" borderId="17" xfId="4" applyNumberFormat="1" applyFont="1" applyBorder="1"/>
    <xf numFmtId="164" fontId="6" fillId="0" borderId="18" xfId="4" applyNumberFormat="1" applyFont="1" applyBorder="1"/>
    <xf numFmtId="164" fontId="6" fillId="0" borderId="0" xfId="4" applyNumberFormat="1" applyFont="1" applyBorder="1"/>
    <xf numFmtId="0" fontId="6" fillId="0" borderId="19" xfId="3" applyFont="1" applyBorder="1"/>
    <xf numFmtId="0" fontId="6" fillId="0" borderId="22" xfId="3" applyFont="1" applyBorder="1"/>
    <xf numFmtId="164" fontId="6" fillId="0" borderId="0" xfId="4" applyNumberFormat="1" applyFont="1"/>
    <xf numFmtId="0" fontId="6" fillId="0" borderId="25" xfId="3" applyFont="1" applyBorder="1"/>
    <xf numFmtId="164" fontId="6" fillId="0" borderId="0" xfId="3" applyNumberFormat="1" applyFont="1"/>
    <xf numFmtId="0" fontId="7" fillId="0" borderId="2" xfId="3" applyFont="1" applyBorder="1" applyAlignment="1">
      <alignment horizontal="center" wrapText="1"/>
    </xf>
    <xf numFmtId="0" fontId="7" fillId="0" borderId="4" xfId="3" applyFont="1" applyBorder="1" applyAlignment="1">
      <alignment horizontal="center"/>
    </xf>
    <xf numFmtId="164" fontId="7" fillId="0" borderId="2" xfId="4" applyNumberFormat="1" applyFont="1" applyBorder="1" applyAlignment="1">
      <alignment horizontal="center"/>
    </xf>
    <xf numFmtId="164" fontId="7" fillId="0" borderId="3" xfId="4" applyNumberFormat="1" applyFont="1" applyBorder="1" applyAlignment="1">
      <alignment horizontal="center"/>
    </xf>
    <xf numFmtId="0" fontId="13" fillId="0" borderId="1" xfId="3" applyFont="1" applyBorder="1" applyAlignment="1">
      <alignment horizontal="centerContinuous"/>
    </xf>
    <xf numFmtId="164" fontId="6" fillId="0" borderId="1" xfId="3" applyNumberFormat="1" applyFont="1" applyBorder="1" applyAlignment="1">
      <alignment horizontal="centerContinuous"/>
    </xf>
    <xf numFmtId="0" fontId="9" fillId="0" borderId="2" xfId="0" applyFont="1" applyBorder="1"/>
    <xf numFmtId="0" fontId="10" fillId="0" borderId="2" xfId="0" applyFont="1" applyBorder="1" applyAlignment="1">
      <alignment horizontal="center"/>
    </xf>
    <xf numFmtId="165" fontId="9" fillId="0" borderId="2" xfId="0" applyNumberFormat="1" applyFont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8" fillId="0" borderId="2" xfId="0" applyFont="1" applyBorder="1" applyAlignment="1">
      <alignment horizontal="center"/>
    </xf>
    <xf numFmtId="0" fontId="6" fillId="0" borderId="20" xfId="3" applyFont="1" applyBorder="1"/>
    <xf numFmtId="0" fontId="6" fillId="0" borderId="21" xfId="3" applyFont="1" applyBorder="1"/>
    <xf numFmtId="0" fontId="6" fillId="0" borderId="23" xfId="3" applyFont="1" applyBorder="1"/>
    <xf numFmtId="0" fontId="6" fillId="0" borderId="24" xfId="3" applyFont="1" applyBorder="1"/>
    <xf numFmtId="0" fontId="6" fillId="0" borderId="26" xfId="3" applyFont="1" applyBorder="1"/>
    <xf numFmtId="0" fontId="1" fillId="0" borderId="0" xfId="5"/>
    <xf numFmtId="0" fontId="1" fillId="0" borderId="2" xfId="5" applyBorder="1"/>
    <xf numFmtId="0" fontId="7" fillId="0" borderId="2" xfId="5" applyFont="1" applyBorder="1" applyAlignment="1">
      <alignment horizontal="center" wrapText="1"/>
    </xf>
    <xf numFmtId="0" fontId="7" fillId="0" borderId="2" xfId="5" applyFont="1" applyBorder="1" applyAlignment="1">
      <alignment horizontal="center"/>
    </xf>
    <xf numFmtId="0" fontId="1" fillId="0" borderId="0" xfId="2" applyFont="1" applyAlignment="1">
      <alignment horizontal="left" vertical="center"/>
    </xf>
    <xf numFmtId="0" fontId="8" fillId="0" borderId="2" xfId="0" applyFont="1" applyBorder="1"/>
    <xf numFmtId="165" fontId="1" fillId="0" borderId="2" xfId="2" applyNumberFormat="1" applyFont="1" applyBorder="1" applyAlignment="1">
      <alignment horizontal="left" vertical="center"/>
    </xf>
    <xf numFmtId="0" fontId="16" fillId="0" borderId="0" xfId="5" applyFont="1" applyAlignment="1">
      <alignment horizontal="centerContinuous"/>
    </xf>
    <xf numFmtId="0" fontId="8" fillId="0" borderId="13" xfId="3" applyFont="1" applyBorder="1" applyAlignment="1">
      <alignment horizontal="right"/>
    </xf>
    <xf numFmtId="0" fontId="8" fillId="0" borderId="24" xfId="3" applyFont="1" applyBorder="1" applyAlignment="1">
      <alignment horizontal="right"/>
    </xf>
    <xf numFmtId="0" fontId="7" fillId="0" borderId="2" xfId="5" applyFont="1" applyBorder="1" applyAlignment="1">
      <alignment horizontal="right" indent="2"/>
    </xf>
    <xf numFmtId="0" fontId="7" fillId="0" borderId="30" xfId="5" applyFont="1" applyBorder="1" applyAlignment="1">
      <alignment horizontal="right" indent="2"/>
    </xf>
    <xf numFmtId="0" fontId="1" fillId="0" borderId="30" xfId="5" applyBorder="1"/>
    <xf numFmtId="166" fontId="1" fillId="0" borderId="2" xfId="5" applyNumberFormat="1" applyBorder="1"/>
    <xf numFmtId="0" fontId="16" fillId="0" borderId="24" xfId="5" applyFont="1" applyBorder="1" applyAlignment="1">
      <alignment horizontal="centerContinuous"/>
    </xf>
    <xf numFmtId="164" fontId="6" fillId="0" borderId="32" xfId="4" applyNumberFormat="1" applyFont="1" applyBorder="1"/>
    <xf numFmtId="164" fontId="8" fillId="0" borderId="31" xfId="4" applyNumberFormat="1" applyFont="1" applyBorder="1"/>
    <xf numFmtId="0" fontId="18" fillId="0" borderId="8" xfId="3" applyFont="1" applyBorder="1" applyAlignment="1">
      <alignment horizontal="left"/>
    </xf>
    <xf numFmtId="0" fontId="11" fillId="0" borderId="8" xfId="3" applyFont="1" applyBorder="1" applyAlignment="1">
      <alignment horizontal="centerContinuous"/>
    </xf>
    <xf numFmtId="0" fontId="7" fillId="0" borderId="33" xfId="3" applyFont="1" applyBorder="1" applyAlignment="1">
      <alignment horizontal="center"/>
    </xf>
    <xf numFmtId="0" fontId="6" fillId="0" borderId="34" xfId="3" applyFont="1" applyBorder="1"/>
    <xf numFmtId="0" fontId="6" fillId="0" borderId="35" xfId="3" applyFont="1" applyBorder="1"/>
    <xf numFmtId="0" fontId="6" fillId="0" borderId="36" xfId="3" applyFont="1" applyBorder="1"/>
    <xf numFmtId="0" fontId="14" fillId="0" borderId="0" xfId="0" applyFont="1" applyAlignment="1">
      <alignment horizontal="center"/>
    </xf>
    <xf numFmtId="0" fontId="15" fillId="0" borderId="0" xfId="2" applyFont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170" fontId="6" fillId="0" borderId="0" xfId="3" applyNumberFormat="1" applyFont="1"/>
    <xf numFmtId="164" fontId="6" fillId="0" borderId="37" xfId="4" applyNumberFormat="1" applyFont="1" applyBorder="1"/>
    <xf numFmtId="165" fontId="6" fillId="0" borderId="12" xfId="4" applyNumberFormat="1" applyFont="1" applyBorder="1"/>
    <xf numFmtId="0" fontId="6" fillId="0" borderId="14" xfId="1" applyNumberFormat="1" applyFont="1" applyBorder="1"/>
    <xf numFmtId="0" fontId="6" fillId="0" borderId="9" xfId="4" applyNumberFormat="1" applyFont="1" applyBorder="1"/>
    <xf numFmtId="165" fontId="6" fillId="0" borderId="15" xfId="3" applyNumberFormat="1" applyFont="1" applyBorder="1"/>
    <xf numFmtId="165" fontId="6" fillId="0" borderId="29" xfId="0" applyNumberFormat="1" applyFont="1" applyBorder="1"/>
  </cellXfs>
  <cellStyles count="6">
    <cellStyle name="Comma 2" xfId="4" xr:uid="{00000000-0005-0000-0000-000000000000}"/>
    <cellStyle name="Currency" xfId="1" builtinId="4"/>
    <cellStyle name="Normal" xfId="0" builtinId="0"/>
    <cellStyle name="Normal 2" xfId="2" xr:uid="{00000000-0005-0000-0000-000003000000}"/>
    <cellStyle name="Normal 3" xfId="3" xr:uid="{00000000-0005-0000-0000-000004000000}"/>
    <cellStyle name="Normal 4" xfId="5" xr:uid="{D0917A95-B99F-4259-986D-FDFD647BC4B1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CECEC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  <pageSetUpPr fitToPage="1"/>
  </sheetPr>
  <dimension ref="A1:M51"/>
  <sheetViews>
    <sheetView showGridLines="0" workbookViewId="0">
      <selection activeCell="P8" sqref="P8"/>
    </sheetView>
  </sheetViews>
  <sheetFormatPr baseColWidth="10" defaultColWidth="9.1640625" defaultRowHeight="14" x14ac:dyDescent="0.15"/>
  <cols>
    <col min="1" max="1" width="2.83203125" style="7" customWidth="1"/>
    <col min="2" max="2" width="21.1640625" style="7" customWidth="1"/>
    <col min="3" max="7" width="8.5" style="7" bestFit="1" customWidth="1"/>
    <col min="8" max="8" width="2.83203125" style="7" customWidth="1"/>
    <col min="9" max="9" width="9.6640625" style="7" customWidth="1"/>
    <col min="10" max="10" width="7.5" style="7" customWidth="1"/>
    <col min="11" max="12" width="19.6640625" style="7" customWidth="1"/>
    <col min="13" max="16384" width="9.1640625" style="7"/>
  </cols>
  <sheetData>
    <row r="1" spans="1:13" ht="13.5" customHeight="1" x14ac:dyDescent="0.15">
      <c r="A1" s="4"/>
      <c r="B1" s="5"/>
      <c r="C1" s="5"/>
      <c r="D1" s="5"/>
      <c r="E1" s="5"/>
      <c r="F1" s="5"/>
      <c r="G1" s="5"/>
      <c r="H1" s="6"/>
    </row>
    <row r="2" spans="1:13" ht="21" x14ac:dyDescent="0.25">
      <c r="A2" s="8"/>
      <c r="B2" s="9" t="s">
        <v>0</v>
      </c>
      <c r="C2" s="10"/>
      <c r="D2" s="11"/>
      <c r="E2" s="11"/>
      <c r="F2" s="11"/>
      <c r="G2" s="11"/>
      <c r="H2" s="12"/>
    </row>
    <row r="3" spans="1:13" ht="21" x14ac:dyDescent="0.25">
      <c r="A3" s="8"/>
      <c r="B3" s="9" t="s">
        <v>19</v>
      </c>
      <c r="C3" s="10"/>
      <c r="D3" s="11"/>
      <c r="E3" s="11"/>
      <c r="F3" s="11"/>
      <c r="G3" s="11"/>
      <c r="H3" s="12"/>
    </row>
    <row r="4" spans="1:13" ht="15.75" customHeight="1" thickBot="1" x14ac:dyDescent="0.3">
      <c r="A4" s="8"/>
      <c r="B4" s="9"/>
      <c r="C4" s="10"/>
      <c r="D4" s="11"/>
      <c r="E4" s="11"/>
      <c r="F4" s="11"/>
      <c r="G4" s="11"/>
      <c r="H4" s="12"/>
    </row>
    <row r="5" spans="1:13" ht="30" customHeight="1" thickTop="1" x14ac:dyDescent="0.15">
      <c r="A5" s="8"/>
      <c r="B5" s="31" t="s">
        <v>1</v>
      </c>
      <c r="C5" s="30" t="s">
        <v>2</v>
      </c>
      <c r="D5" s="32" t="s">
        <v>20</v>
      </c>
      <c r="E5" s="32" t="s">
        <v>21</v>
      </c>
      <c r="F5" s="32" t="s">
        <v>22</v>
      </c>
      <c r="G5" s="33" t="s">
        <v>4</v>
      </c>
      <c r="H5" s="13"/>
      <c r="J5" s="25"/>
      <c r="K5" s="43"/>
      <c r="L5" s="43"/>
      <c r="M5" s="44"/>
    </row>
    <row r="6" spans="1:13" ht="18" customHeight="1" x14ac:dyDescent="0.2">
      <c r="A6" s="8"/>
      <c r="B6" s="14" t="s">
        <v>11</v>
      </c>
      <c r="C6" s="77">
        <f>_xlfn.XLOOKUP(B6,'Fees List'!$A$2:$A$10,'Fees List'!$B$2:$B$10)</f>
        <v>10</v>
      </c>
      <c r="D6" s="15">
        <v>14</v>
      </c>
      <c r="E6" s="15">
        <v>20</v>
      </c>
      <c r="F6" s="15">
        <v>25</v>
      </c>
      <c r="G6" s="16">
        <f>SUM(D6:F6)</f>
        <v>59</v>
      </c>
      <c r="H6" s="12"/>
      <c r="J6" s="26"/>
      <c r="K6" s="34" t="s">
        <v>5</v>
      </c>
      <c r="L6" s="35"/>
      <c r="M6" s="45"/>
    </row>
    <row r="7" spans="1:13" ht="18" customHeight="1" x14ac:dyDescent="0.15">
      <c r="A7" s="8"/>
      <c r="B7" s="14" t="s">
        <v>13</v>
      </c>
      <c r="C7" s="77">
        <f>_xlfn.XLOOKUP(B7,'Fees List'!$A$2:$A$10,'Fees List'!$B$2:$B$10)</f>
        <v>25</v>
      </c>
      <c r="D7" s="15">
        <v>14</v>
      </c>
      <c r="E7" s="15">
        <v>10</v>
      </c>
      <c r="F7" s="15">
        <v>10</v>
      </c>
      <c r="G7" s="16">
        <f t="shared" ref="G7:G14" si="0">SUM(D7:F7)</f>
        <v>34</v>
      </c>
      <c r="H7" s="12"/>
      <c r="J7" s="26"/>
      <c r="K7" s="14" t="s">
        <v>11</v>
      </c>
      <c r="L7" s="80">
        <f>C6*G6</f>
        <v>590</v>
      </c>
      <c r="M7" s="45"/>
    </row>
    <row r="8" spans="1:13" ht="18" customHeight="1" x14ac:dyDescent="0.15">
      <c r="A8" s="8"/>
      <c r="B8" s="14" t="s">
        <v>3</v>
      </c>
      <c r="C8" s="77">
        <f>_xlfn.XLOOKUP(B8,'Fees List'!$A$2:$A$10,'Fees List'!$B$2:$B$10)</f>
        <v>25</v>
      </c>
      <c r="D8" s="15">
        <v>10</v>
      </c>
      <c r="E8" s="15">
        <v>29</v>
      </c>
      <c r="F8" s="15">
        <v>24</v>
      </c>
      <c r="G8" s="16">
        <f t="shared" si="0"/>
        <v>63</v>
      </c>
      <c r="H8" s="12"/>
      <c r="J8" s="26"/>
      <c r="K8" s="14" t="s">
        <v>13</v>
      </c>
      <c r="L8" s="80">
        <f t="shared" ref="L8:L16" si="1">C7*G7</f>
        <v>850</v>
      </c>
      <c r="M8" s="45"/>
    </row>
    <row r="9" spans="1:13" ht="18" customHeight="1" x14ac:dyDescent="0.15">
      <c r="A9" s="8"/>
      <c r="B9" s="14" t="s">
        <v>14</v>
      </c>
      <c r="C9" s="77">
        <f>_xlfn.XLOOKUP(B9,'Fees List'!$A$2:$A$10,'Fees List'!$B$2:$B$10)</f>
        <v>10</v>
      </c>
      <c r="D9" s="15">
        <v>24</v>
      </c>
      <c r="E9" s="15">
        <v>21</v>
      </c>
      <c r="F9" s="15">
        <v>22</v>
      </c>
      <c r="G9" s="16">
        <f t="shared" si="0"/>
        <v>67</v>
      </c>
      <c r="H9" s="12"/>
      <c r="J9" s="26"/>
      <c r="K9" s="14" t="s">
        <v>3</v>
      </c>
      <c r="L9" s="80">
        <f t="shared" si="1"/>
        <v>1575</v>
      </c>
      <c r="M9" s="45"/>
    </row>
    <row r="10" spans="1:13" ht="18" customHeight="1" x14ac:dyDescent="0.15">
      <c r="A10" s="8"/>
      <c r="B10" s="14" t="s">
        <v>18</v>
      </c>
      <c r="C10" s="77">
        <f>_xlfn.XLOOKUP(B10,'Fees List'!$A$2:$A$10,'Fees List'!$B$2:$B$10)</f>
        <v>15</v>
      </c>
      <c r="D10" s="15">
        <v>18</v>
      </c>
      <c r="E10" s="15">
        <v>27</v>
      </c>
      <c r="F10" s="15">
        <v>26</v>
      </c>
      <c r="G10" s="16">
        <f t="shared" si="0"/>
        <v>71</v>
      </c>
      <c r="H10" s="12"/>
      <c r="J10" s="26"/>
      <c r="K10" s="14" t="s">
        <v>14</v>
      </c>
      <c r="L10" s="80">
        <f t="shared" si="1"/>
        <v>670</v>
      </c>
      <c r="M10" s="45"/>
    </row>
    <row r="11" spans="1:13" ht="18" customHeight="1" x14ac:dyDescent="0.15">
      <c r="A11" s="8"/>
      <c r="B11" s="17" t="s">
        <v>12</v>
      </c>
      <c r="C11" s="77">
        <f>_xlfn.XLOOKUP(B11,'Fees List'!$A$2:$A$10,'Fees List'!$B$2:$B$10)</f>
        <v>25</v>
      </c>
      <c r="D11" s="19">
        <v>22</v>
      </c>
      <c r="E11" s="19">
        <v>12</v>
      </c>
      <c r="F11" s="19">
        <v>16</v>
      </c>
      <c r="G11" s="16">
        <f t="shared" si="0"/>
        <v>50</v>
      </c>
      <c r="H11" s="12"/>
      <c r="J11" s="26"/>
      <c r="K11" s="14" t="s">
        <v>18</v>
      </c>
      <c r="L11" s="80">
        <f t="shared" si="1"/>
        <v>1065</v>
      </c>
      <c r="M11" s="45"/>
    </row>
    <row r="12" spans="1:13" ht="18" customHeight="1" x14ac:dyDescent="0.15">
      <c r="A12" s="8"/>
      <c r="B12" s="17" t="s">
        <v>17</v>
      </c>
      <c r="C12" s="77">
        <f>_xlfn.XLOOKUP(B12,'Fees List'!$A$2:$A$10,'Fees List'!$B$2:$B$10)</f>
        <v>10</v>
      </c>
      <c r="D12" s="19">
        <v>15</v>
      </c>
      <c r="E12" s="19">
        <v>14</v>
      </c>
      <c r="F12" s="19">
        <v>18</v>
      </c>
      <c r="G12" s="16">
        <f t="shared" si="0"/>
        <v>47</v>
      </c>
      <c r="H12" s="12"/>
      <c r="J12" s="26"/>
      <c r="K12" s="17" t="s">
        <v>12</v>
      </c>
      <c r="L12" s="80">
        <f t="shared" si="1"/>
        <v>1250</v>
      </c>
      <c r="M12" s="45"/>
    </row>
    <row r="13" spans="1:13" ht="18" customHeight="1" x14ac:dyDescent="0.15">
      <c r="A13" s="8"/>
      <c r="B13" s="17" t="s">
        <v>15</v>
      </c>
      <c r="C13" s="77">
        <f>_xlfn.XLOOKUP(B13,'Fees List'!$A$2:$A$10,'Fees List'!$B$2:$B$10)</f>
        <v>10</v>
      </c>
      <c r="D13" s="19">
        <v>22</v>
      </c>
      <c r="E13" s="19">
        <v>14</v>
      </c>
      <c r="F13" s="19">
        <v>28</v>
      </c>
      <c r="G13" s="16">
        <f t="shared" si="0"/>
        <v>64</v>
      </c>
      <c r="H13" s="12"/>
      <c r="J13" s="26"/>
      <c r="K13" s="17" t="s">
        <v>17</v>
      </c>
      <c r="L13" s="80">
        <f t="shared" si="1"/>
        <v>470</v>
      </c>
      <c r="M13" s="45"/>
    </row>
    <row r="14" spans="1:13" ht="18" customHeight="1" x14ac:dyDescent="0.15">
      <c r="A14" s="8"/>
      <c r="B14" s="17" t="s">
        <v>16</v>
      </c>
      <c r="C14" s="77">
        <f>_xlfn.XLOOKUP(B14,'Fees List'!$A$2:$A$10,'Fees List'!$B$2:$B$10)</f>
        <v>10</v>
      </c>
      <c r="D14" s="19">
        <v>27</v>
      </c>
      <c r="E14" s="19">
        <v>25</v>
      </c>
      <c r="F14" s="19">
        <v>26</v>
      </c>
      <c r="G14" s="16">
        <f t="shared" si="0"/>
        <v>78</v>
      </c>
      <c r="H14" s="12"/>
      <c r="J14" s="26"/>
      <c r="K14" s="17" t="s">
        <v>15</v>
      </c>
      <c r="L14" s="80">
        <f t="shared" si="1"/>
        <v>640</v>
      </c>
      <c r="M14" s="45"/>
    </row>
    <row r="15" spans="1:13" ht="18" customHeight="1" x14ac:dyDescent="0.15">
      <c r="A15" s="8"/>
      <c r="B15" s="56" t="s">
        <v>4</v>
      </c>
      <c r="C15" s="18"/>
      <c r="D15" s="78">
        <f>SUM(D6:D14)</f>
        <v>166</v>
      </c>
      <c r="E15" s="78">
        <f t="shared" ref="E15:G15" si="2">SUM(E6:E14)</f>
        <v>172</v>
      </c>
      <c r="F15" s="78">
        <f t="shared" si="2"/>
        <v>195</v>
      </c>
      <c r="G15" s="78">
        <f>SUM(D15:F15)</f>
        <v>533</v>
      </c>
      <c r="H15" s="79"/>
      <c r="J15" s="26"/>
      <c r="K15" s="17" t="s">
        <v>16</v>
      </c>
      <c r="L15" s="80">
        <f t="shared" si="1"/>
        <v>780</v>
      </c>
      <c r="M15" s="45"/>
    </row>
    <row r="16" spans="1:13" ht="18" customHeight="1" thickBot="1" x14ac:dyDescent="0.2">
      <c r="A16" s="20"/>
      <c r="B16" s="21"/>
      <c r="C16" s="21"/>
      <c r="D16" s="22"/>
      <c r="E16" s="22"/>
      <c r="F16" s="22"/>
      <c r="G16" s="22"/>
      <c r="H16" s="23"/>
      <c r="J16" s="26"/>
      <c r="K16" s="57" t="s">
        <v>6</v>
      </c>
      <c r="L16" s="80">
        <f>SUM(L7:L15)</f>
        <v>7890</v>
      </c>
      <c r="M16" s="45"/>
    </row>
    <row r="17" spans="2:13" ht="18" customHeight="1" thickBot="1" x14ac:dyDescent="0.2">
      <c r="D17" s="24"/>
      <c r="E17" s="24"/>
      <c r="F17" s="24"/>
      <c r="G17" s="24"/>
      <c r="H17" s="24"/>
      <c r="J17" s="28"/>
      <c r="K17" s="46"/>
      <c r="L17" s="46"/>
      <c r="M17" s="47"/>
    </row>
    <row r="18" spans="2:13" ht="18" customHeight="1" thickTop="1" x14ac:dyDescent="0.15">
      <c r="G18" s="24"/>
      <c r="H18" s="24"/>
      <c r="J18"/>
      <c r="K18"/>
      <c r="L18"/>
      <c r="M18"/>
    </row>
    <row r="19" spans="2:13" ht="18" customHeight="1" x14ac:dyDescent="0.15">
      <c r="B19" s="75">
        <f ca="1">NOW()</f>
        <v>46292.864335069447</v>
      </c>
      <c r="G19" s="27"/>
      <c r="H19" s="27"/>
    </row>
    <row r="20" spans="2:13" ht="18" customHeight="1" x14ac:dyDescent="0.15">
      <c r="G20" s="27"/>
      <c r="H20" s="27"/>
    </row>
    <row r="21" spans="2:13" ht="18" customHeight="1" x14ac:dyDescent="0.15">
      <c r="G21" s="27"/>
      <c r="H21" s="27"/>
    </row>
    <row r="22" spans="2:13" ht="18" customHeight="1" x14ac:dyDescent="0.15">
      <c r="G22" s="27"/>
    </row>
    <row r="23" spans="2:13" ht="18" customHeight="1" x14ac:dyDescent="0.15">
      <c r="G23" s="27"/>
      <c r="H23" s="27"/>
      <c r="I23" s="27"/>
      <c r="J23" s="27"/>
      <c r="K23" s="27"/>
    </row>
    <row r="24" spans="2:13" ht="18" customHeight="1" x14ac:dyDescent="0.15">
      <c r="G24" s="27"/>
      <c r="H24" s="27"/>
      <c r="I24" s="27"/>
      <c r="J24" s="27"/>
      <c r="K24" s="27"/>
    </row>
    <row r="25" spans="2:13" ht="18" customHeight="1" x14ac:dyDescent="0.15">
      <c r="G25" s="27"/>
      <c r="H25" s="27"/>
      <c r="I25" s="27"/>
      <c r="J25" s="27"/>
      <c r="K25" s="27"/>
    </row>
    <row r="26" spans="2:13" ht="18" customHeight="1" x14ac:dyDescent="0.15">
      <c r="G26" s="27"/>
      <c r="H26" s="27"/>
      <c r="I26" s="27"/>
      <c r="J26" s="27"/>
      <c r="K26" s="27"/>
    </row>
    <row r="27" spans="2:13" ht="18" customHeight="1" x14ac:dyDescent="0.15">
      <c r="G27" s="27"/>
      <c r="H27" s="27"/>
      <c r="I27" s="27"/>
      <c r="J27" s="27"/>
      <c r="K27" s="27"/>
    </row>
    <row r="28" spans="2:13" ht="18" customHeight="1" x14ac:dyDescent="0.15">
      <c r="G28" s="27"/>
      <c r="H28" s="27"/>
      <c r="I28" s="27"/>
      <c r="J28" s="27"/>
      <c r="K28" s="27"/>
    </row>
    <row r="29" spans="2:13" ht="18" customHeight="1" x14ac:dyDescent="0.15">
      <c r="G29" s="27"/>
      <c r="H29" s="27"/>
      <c r="I29" s="27"/>
      <c r="J29" s="27"/>
      <c r="K29" s="27"/>
    </row>
    <row r="30" spans="2:13" ht="18" customHeight="1" x14ac:dyDescent="0.15">
      <c r="G30" s="29"/>
      <c r="H30" s="29"/>
      <c r="I30" s="27"/>
      <c r="J30" s="27"/>
      <c r="K30" s="27"/>
    </row>
    <row r="31" spans="2:13" ht="18" customHeight="1" x14ac:dyDescent="0.15">
      <c r="I31" s="27"/>
      <c r="J31" s="27"/>
      <c r="K31" s="27"/>
    </row>
    <row r="32" spans="2:13" ht="18" customHeight="1" x14ac:dyDescent="0.15">
      <c r="I32" s="27"/>
      <c r="J32" s="27"/>
      <c r="K32" s="27"/>
    </row>
    <row r="33" ht="18" customHeight="1" x14ac:dyDescent="0.15"/>
    <row r="34" ht="18" customHeight="1" x14ac:dyDescent="0.15"/>
    <row r="35" ht="15" customHeight="1" x14ac:dyDescent="0.15"/>
    <row r="36" ht="15" customHeight="1" x14ac:dyDescent="0.15"/>
    <row r="37" ht="15" customHeight="1" x14ac:dyDescent="0.15"/>
    <row r="38" ht="15" customHeight="1" x14ac:dyDescent="0.15"/>
    <row r="39" ht="15" customHeight="1" x14ac:dyDescent="0.15"/>
    <row r="40" ht="15" customHeight="1" x14ac:dyDescent="0.15"/>
    <row r="41" ht="15" customHeight="1" x14ac:dyDescent="0.15"/>
    <row r="42" ht="15" customHeight="1" x14ac:dyDescent="0.15"/>
    <row r="43" ht="15" customHeight="1" x14ac:dyDescent="0.15"/>
    <row r="44" ht="15" customHeight="1" x14ac:dyDescent="0.15"/>
    <row r="45" ht="15" customHeight="1" x14ac:dyDescent="0.15"/>
    <row r="46" ht="15" customHeight="1" x14ac:dyDescent="0.15"/>
    <row r="47" ht="15" customHeight="1" x14ac:dyDescent="0.15"/>
    <row r="48" ht="15" customHeight="1" x14ac:dyDescent="0.15"/>
    <row r="49" ht="15" customHeight="1" x14ac:dyDescent="0.15"/>
    <row r="50" ht="15" customHeight="1" x14ac:dyDescent="0.15"/>
    <row r="51" ht="15" customHeight="1" x14ac:dyDescent="0.15"/>
  </sheetData>
  <sortState xmlns:xlrd2="http://schemas.microsoft.com/office/spreadsheetml/2017/richdata2" ref="B6:B14">
    <sortCondition ref="B6:B14"/>
  </sortState>
  <printOptions horizontalCentered="1"/>
  <pageMargins left="0.75" right="0.75" top="1" bottom="1" header="0.5" footer="0.5"/>
  <pageSetup scale="9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D746A-05EE-40E1-8C39-BBDE7D0CAB68}">
  <sheetPr>
    <tabColor theme="3" tint="0.59999389629810485"/>
    <pageSetUpPr fitToPage="1"/>
  </sheetPr>
  <dimension ref="A1:G49"/>
  <sheetViews>
    <sheetView showGridLines="0" workbookViewId="0">
      <selection activeCell="E9" sqref="E9"/>
    </sheetView>
  </sheetViews>
  <sheetFormatPr baseColWidth="10" defaultColWidth="9.1640625" defaultRowHeight="14" x14ac:dyDescent="0.15"/>
  <cols>
    <col min="1" max="1" width="21.1640625" style="7" customWidth="1"/>
    <col min="2" max="2" width="36.1640625" style="7" customWidth="1"/>
    <col min="3" max="3" width="9.6640625" style="7" customWidth="1"/>
    <col min="4" max="4" width="7.5" style="7" customWidth="1"/>
    <col min="5" max="6" width="19.6640625" style="7" customWidth="1"/>
    <col min="7" max="16384" width="9.1640625" style="7"/>
  </cols>
  <sheetData>
    <row r="1" spans="1:7" ht="13.5" customHeight="1" x14ac:dyDescent="0.15">
      <c r="A1" s="4"/>
      <c r="B1" s="6"/>
    </row>
    <row r="2" spans="1:7" ht="23" x14ac:dyDescent="0.25">
      <c r="A2" s="65" t="s">
        <v>0</v>
      </c>
      <c r="B2" s="12"/>
    </row>
    <row r="3" spans="1:7" ht="23" x14ac:dyDescent="0.25">
      <c r="A3" s="65" t="s">
        <v>62</v>
      </c>
      <c r="B3" s="12"/>
    </row>
    <row r="4" spans="1:7" ht="15.75" customHeight="1" x14ac:dyDescent="0.25">
      <c r="A4" s="66"/>
      <c r="B4" s="12"/>
    </row>
    <row r="5" spans="1:7" ht="30" customHeight="1" x14ac:dyDescent="0.15">
      <c r="A5" s="67" t="s">
        <v>1</v>
      </c>
      <c r="B5" s="64" t="s">
        <v>61</v>
      </c>
      <c r="D5"/>
      <c r="E5"/>
      <c r="F5"/>
      <c r="G5"/>
    </row>
    <row r="6" spans="1:7" ht="18" customHeight="1" x14ac:dyDescent="0.15">
      <c r="A6" s="68" t="s">
        <v>11</v>
      </c>
      <c r="B6" s="63" t="str">
        <f>_xlfn.CONCAT(A6," had ",Programs!C6," participants")</f>
        <v>Book Worms had 10 participants</v>
      </c>
      <c r="D6"/>
      <c r="E6"/>
      <c r="F6"/>
      <c r="G6"/>
    </row>
    <row r="7" spans="1:7" ht="18" customHeight="1" x14ac:dyDescent="0.15">
      <c r="A7" s="68" t="s">
        <v>13</v>
      </c>
      <c r="B7" s="63" t="str">
        <f>_xlfn.CONCAT(A7," had ",Programs!C7," participants")</f>
        <v>Ceramics had 25 participants</v>
      </c>
      <c r="D7"/>
      <c r="E7"/>
      <c r="F7"/>
      <c r="G7"/>
    </row>
    <row r="8" spans="1:7" ht="18" customHeight="1" x14ac:dyDescent="0.15">
      <c r="A8" s="68" t="s">
        <v>3</v>
      </c>
      <c r="B8" s="63" t="str">
        <f>_xlfn.CONCAT(A8," had ",Programs!C8," participants")</f>
        <v>Cooking for Health had 25 participants</v>
      </c>
      <c r="D8"/>
      <c r="E8"/>
      <c r="F8"/>
      <c r="G8"/>
    </row>
    <row r="9" spans="1:7" ht="18" customHeight="1" x14ac:dyDescent="0.15">
      <c r="A9" s="68" t="s">
        <v>14</v>
      </c>
      <c r="B9" s="63" t="str">
        <f>_xlfn.CONCAT(A9," had ",Programs!C9," participants")</f>
        <v>Drop-In Fitness had 10 participants</v>
      </c>
      <c r="D9"/>
      <c r="E9"/>
      <c r="F9"/>
      <c r="G9"/>
    </row>
    <row r="10" spans="1:7" ht="18" customHeight="1" x14ac:dyDescent="0.15">
      <c r="A10" s="68" t="s">
        <v>18</v>
      </c>
      <c r="B10" s="63" t="str">
        <f>_xlfn.CONCAT(A10," had ",Programs!C10," participants")</f>
        <v>Gardening Tips had 15 participants</v>
      </c>
      <c r="D10"/>
      <c r="E10"/>
      <c r="F10"/>
      <c r="G10"/>
    </row>
    <row r="11" spans="1:7" ht="18" customHeight="1" x14ac:dyDescent="0.15">
      <c r="A11" s="69" t="s">
        <v>12</v>
      </c>
      <c r="B11" s="63" t="str">
        <f>_xlfn.CONCAT(A11," had ",Programs!C11," participants")</f>
        <v>Lapidary Arts had 25 participants</v>
      </c>
      <c r="D11"/>
      <c r="E11"/>
      <c r="F11"/>
      <c r="G11"/>
    </row>
    <row r="12" spans="1:7" ht="18" customHeight="1" x14ac:dyDescent="0.15">
      <c r="A12" s="69" t="s">
        <v>17</v>
      </c>
      <c r="B12" s="63" t="str">
        <f>_xlfn.CONCAT(A12," had ",Programs!C12," participants")</f>
        <v>Latin Dance had 10 participants</v>
      </c>
      <c r="D12"/>
      <c r="E12"/>
      <c r="F12"/>
      <c r="G12"/>
    </row>
    <row r="13" spans="1:7" ht="18" customHeight="1" x14ac:dyDescent="0.15">
      <c r="A13" s="69" t="s">
        <v>15</v>
      </c>
      <c r="B13" s="63" t="str">
        <f>_xlfn.CONCAT(A13," had ",Programs!C13," participants")</f>
        <v>Virtual Museums had 10 participants</v>
      </c>
      <c r="D13"/>
      <c r="E13"/>
      <c r="F13"/>
      <c r="G13"/>
    </row>
    <row r="14" spans="1:7" ht="18" customHeight="1" thickBot="1" x14ac:dyDescent="0.2">
      <c r="A14" s="70" t="s">
        <v>16</v>
      </c>
      <c r="B14" s="76" t="str">
        <f>_xlfn.CONCAT(A14," had ",Programs!C14," participants")</f>
        <v>Writing Workshop had 10 participants</v>
      </c>
      <c r="D14"/>
      <c r="E14"/>
      <c r="F14"/>
      <c r="G14"/>
    </row>
    <row r="15" spans="1:7" ht="18" customHeight="1" x14ac:dyDescent="0.15">
      <c r="B15" s="24"/>
      <c r="D15"/>
      <c r="E15"/>
      <c r="F15"/>
      <c r="G15"/>
    </row>
    <row r="16" spans="1:7" ht="18" customHeight="1" x14ac:dyDescent="0.15">
      <c r="A16" s="7" t="s">
        <v>63</v>
      </c>
      <c r="B16" s="24"/>
      <c r="D16"/>
      <c r="E16"/>
      <c r="F16"/>
      <c r="G16"/>
    </row>
    <row r="17" spans="1:5" ht="18" customHeight="1" x14ac:dyDescent="0.15">
      <c r="A17" s="7" t="s">
        <v>64</v>
      </c>
      <c r="B17" s="27"/>
    </row>
    <row r="18" spans="1:5" ht="18" customHeight="1" x14ac:dyDescent="0.15">
      <c r="B18" s="27"/>
    </row>
    <row r="19" spans="1:5" ht="18" customHeight="1" x14ac:dyDescent="0.15">
      <c r="B19" s="27"/>
    </row>
    <row r="20" spans="1:5" ht="18" customHeight="1" x14ac:dyDescent="0.15"/>
    <row r="21" spans="1:5" ht="18" customHeight="1" x14ac:dyDescent="0.15">
      <c r="B21" s="27"/>
      <c r="C21" s="27"/>
      <c r="D21" s="27"/>
      <c r="E21" s="27"/>
    </row>
    <row r="22" spans="1:5" ht="18" customHeight="1" x14ac:dyDescent="0.15">
      <c r="B22" s="27"/>
      <c r="C22" s="27"/>
      <c r="D22" s="27"/>
      <c r="E22" s="27"/>
    </row>
    <row r="23" spans="1:5" ht="18" customHeight="1" x14ac:dyDescent="0.15">
      <c r="B23" s="27"/>
      <c r="C23" s="27"/>
      <c r="D23" s="27"/>
      <c r="E23" s="27"/>
    </row>
    <row r="24" spans="1:5" ht="18" customHeight="1" x14ac:dyDescent="0.15">
      <c r="B24" s="27"/>
      <c r="C24" s="27"/>
      <c r="D24" s="27"/>
      <c r="E24" s="27"/>
    </row>
    <row r="25" spans="1:5" ht="18" customHeight="1" x14ac:dyDescent="0.15">
      <c r="B25" s="27"/>
      <c r="C25" s="27"/>
      <c r="D25" s="27"/>
      <c r="E25" s="27"/>
    </row>
    <row r="26" spans="1:5" ht="18" customHeight="1" x14ac:dyDescent="0.15">
      <c r="B26" s="27"/>
      <c r="C26" s="27"/>
      <c r="D26" s="27"/>
      <c r="E26" s="27"/>
    </row>
    <row r="27" spans="1:5" ht="18" customHeight="1" x14ac:dyDescent="0.15">
      <c r="B27" s="27"/>
      <c r="C27" s="27"/>
      <c r="D27" s="27"/>
      <c r="E27" s="27"/>
    </row>
    <row r="28" spans="1:5" ht="18" customHeight="1" x14ac:dyDescent="0.15">
      <c r="B28" s="29"/>
      <c r="C28" s="27"/>
      <c r="D28" s="27"/>
      <c r="E28" s="27"/>
    </row>
    <row r="29" spans="1:5" ht="18" customHeight="1" x14ac:dyDescent="0.15">
      <c r="C29" s="27"/>
      <c r="D29" s="27"/>
      <c r="E29" s="27"/>
    </row>
    <row r="30" spans="1:5" ht="18" customHeight="1" x14ac:dyDescent="0.15">
      <c r="C30" s="27"/>
      <c r="D30" s="27"/>
      <c r="E30" s="27"/>
    </row>
    <row r="31" spans="1:5" ht="18" customHeight="1" x14ac:dyDescent="0.15"/>
    <row r="32" spans="1:5" ht="18" customHeight="1" x14ac:dyDescent="0.15"/>
    <row r="33" ht="15" customHeight="1" x14ac:dyDescent="0.15"/>
    <row r="34" ht="15" customHeight="1" x14ac:dyDescent="0.15"/>
    <row r="35" ht="15" customHeight="1" x14ac:dyDescent="0.15"/>
    <row r="36" ht="15" customHeight="1" x14ac:dyDescent="0.15"/>
    <row r="37" ht="15" customHeight="1" x14ac:dyDescent="0.15"/>
    <row r="38" ht="15" customHeight="1" x14ac:dyDescent="0.15"/>
    <row r="39" ht="15" customHeight="1" x14ac:dyDescent="0.15"/>
    <row r="40" ht="15" customHeight="1" x14ac:dyDescent="0.15"/>
    <row r="41" ht="15" customHeight="1" x14ac:dyDescent="0.15"/>
    <row r="42" ht="15" customHeight="1" x14ac:dyDescent="0.15"/>
    <row r="43" ht="15" customHeight="1" x14ac:dyDescent="0.15"/>
    <row r="44" ht="15" customHeight="1" x14ac:dyDescent="0.15"/>
    <row r="45" ht="15" customHeight="1" x14ac:dyDescent="0.15"/>
    <row r="46" ht="15" customHeight="1" x14ac:dyDescent="0.15"/>
    <row r="47" ht="15" customHeight="1" x14ac:dyDescent="0.15"/>
    <row r="48" ht="15" customHeight="1" x14ac:dyDescent="0.15"/>
    <row r="49" ht="15" customHeight="1" x14ac:dyDescent="0.15"/>
  </sheetData>
  <printOptions horizontalCentered="1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7152B-2CB2-4937-A953-639273F32500}">
  <sheetPr>
    <tabColor theme="7" tint="0.39997558519241921"/>
  </sheetPr>
  <dimension ref="A1:I21"/>
  <sheetViews>
    <sheetView showGridLines="0" tabSelected="1" workbookViewId="0">
      <selection activeCell="H26" sqref="H26:H27"/>
    </sheetView>
  </sheetViews>
  <sheetFormatPr baseColWidth="10" defaultColWidth="9.1640625" defaultRowHeight="14" x14ac:dyDescent="0.15"/>
  <cols>
    <col min="1" max="1" width="24.6640625" style="48" customWidth="1"/>
    <col min="2" max="2" width="21.1640625" style="48" customWidth="1"/>
    <col min="3" max="3" width="12.33203125" style="48" customWidth="1"/>
    <col min="4" max="4" width="9.1640625" style="48"/>
    <col min="5" max="5" width="12.83203125" style="48" customWidth="1"/>
    <col min="6" max="6" width="13.33203125" style="48" customWidth="1"/>
    <col min="7" max="7" width="9.1640625" style="48"/>
    <col min="8" max="8" width="16.5" style="48" customWidth="1"/>
    <col min="9" max="9" width="9.5" style="48" bestFit="1" customWidth="1"/>
    <col min="10" max="16384" width="9.1640625" style="48"/>
  </cols>
  <sheetData>
    <row r="1" spans="1:9" ht="23" x14ac:dyDescent="0.25">
      <c r="A1" s="55" t="s">
        <v>0</v>
      </c>
      <c r="B1" s="55"/>
      <c r="C1" s="55"/>
      <c r="D1" s="55"/>
      <c r="E1" s="55"/>
      <c r="F1" s="55"/>
      <c r="G1" s="55"/>
      <c r="H1" s="55"/>
      <c r="I1" s="55"/>
    </row>
    <row r="2" spans="1:9" ht="23" x14ac:dyDescent="0.25">
      <c r="A2" s="55" t="s">
        <v>29</v>
      </c>
      <c r="B2" s="55"/>
      <c r="C2" s="55"/>
      <c r="D2" s="55"/>
      <c r="E2" s="55"/>
      <c r="F2" s="55"/>
      <c r="G2" s="55"/>
      <c r="H2" s="55"/>
      <c r="I2" s="55"/>
    </row>
    <row r="3" spans="1:9" ht="23" x14ac:dyDescent="0.25">
      <c r="A3" s="55" t="s">
        <v>60</v>
      </c>
      <c r="B3" s="55"/>
      <c r="C3" s="55"/>
      <c r="D3" s="55"/>
      <c r="E3" s="55"/>
      <c r="F3" s="55"/>
      <c r="G3" s="55"/>
      <c r="H3" s="55"/>
      <c r="I3" s="55"/>
    </row>
    <row r="4" spans="1:9" ht="12" customHeight="1" thickBot="1" x14ac:dyDescent="0.3">
      <c r="A4" s="62"/>
      <c r="B4" s="62"/>
      <c r="C4" s="62"/>
      <c r="D4" s="62"/>
      <c r="E4" s="62"/>
      <c r="F4" s="62"/>
      <c r="G4" s="62"/>
      <c r="H4" s="62"/>
      <c r="I4" s="62"/>
    </row>
    <row r="5" spans="1:9" ht="15" thickTop="1" x14ac:dyDescent="0.15"/>
    <row r="6" spans="1:9" x14ac:dyDescent="0.15">
      <c r="B6" s="58" t="s">
        <v>33</v>
      </c>
      <c r="C6" s="61">
        <v>30</v>
      </c>
    </row>
    <row r="7" spans="1:9" x14ac:dyDescent="0.15">
      <c r="B7" s="59" t="s">
        <v>27</v>
      </c>
      <c r="C7" s="60">
        <v>250</v>
      </c>
    </row>
    <row r="10" spans="1:9" ht="30" x14ac:dyDescent="0.15">
      <c r="A10" s="49"/>
      <c r="B10" s="51" t="s">
        <v>24</v>
      </c>
      <c r="C10" s="50" t="s">
        <v>35</v>
      </c>
      <c r="E10" s="50" t="s">
        <v>59</v>
      </c>
      <c r="F10" s="50" t="s">
        <v>31</v>
      </c>
      <c r="G10" s="50" t="s">
        <v>28</v>
      </c>
      <c r="H10" s="50" t="s">
        <v>65</v>
      </c>
      <c r="I10" s="50" t="s">
        <v>26</v>
      </c>
    </row>
    <row r="11" spans="1:9" x14ac:dyDescent="0.15">
      <c r="A11" s="49" t="s">
        <v>30</v>
      </c>
      <c r="B11" s="61">
        <f>C6</f>
        <v>30</v>
      </c>
      <c r="C11" s="61">
        <f>C6*C7</f>
        <v>7500</v>
      </c>
      <c r="E11" s="49">
        <v>100</v>
      </c>
      <c r="F11" s="61">
        <f>$E$11*$B$11</f>
        <v>3000</v>
      </c>
      <c r="G11" s="61">
        <f>$C$14</f>
        <v>2500</v>
      </c>
      <c r="H11" s="61">
        <f>G11+($B$12*E11)</f>
        <v>3000</v>
      </c>
      <c r="I11" s="61">
        <f>F11-H11</f>
        <v>0</v>
      </c>
    </row>
    <row r="12" spans="1:9" x14ac:dyDescent="0.15">
      <c r="A12" s="49" t="s">
        <v>34</v>
      </c>
      <c r="B12" s="61">
        <v>5</v>
      </c>
      <c r="C12" s="61">
        <f>B12*C7</f>
        <v>1250</v>
      </c>
      <c r="E12" s="49">
        <v>150</v>
      </c>
      <c r="F12" s="61">
        <v>4500</v>
      </c>
      <c r="G12" s="61">
        <f t="shared" ref="G12:G20" si="0">$C$14</f>
        <v>2500</v>
      </c>
      <c r="H12" s="61">
        <f t="shared" ref="H12:H20" si="1">G12+($B$12*E12)</f>
        <v>3250</v>
      </c>
      <c r="I12" s="61">
        <f t="shared" ref="I12:I20" si="2">F12-H12</f>
        <v>1250</v>
      </c>
    </row>
    <row r="13" spans="1:9" x14ac:dyDescent="0.15">
      <c r="A13" s="49" t="s">
        <v>26</v>
      </c>
      <c r="B13" s="61">
        <f>B11-B12</f>
        <v>25</v>
      </c>
      <c r="C13" s="61">
        <f>C11-C12</f>
        <v>6250</v>
      </c>
      <c r="E13" s="49">
        <v>200</v>
      </c>
      <c r="F13" s="61">
        <v>6000</v>
      </c>
      <c r="G13" s="61">
        <f t="shared" si="0"/>
        <v>2500</v>
      </c>
      <c r="H13" s="61">
        <f t="shared" si="1"/>
        <v>3500</v>
      </c>
      <c r="I13" s="61">
        <f>F13-H13</f>
        <v>2500</v>
      </c>
    </row>
    <row r="14" spans="1:9" x14ac:dyDescent="0.15">
      <c r="A14" s="49" t="s">
        <v>25</v>
      </c>
      <c r="B14" s="49"/>
      <c r="C14" s="61">
        <v>2500</v>
      </c>
      <c r="E14" s="49">
        <v>250</v>
      </c>
      <c r="F14" s="61">
        <v>7500</v>
      </c>
      <c r="G14" s="61">
        <f t="shared" si="0"/>
        <v>2500</v>
      </c>
      <c r="H14" s="61">
        <f t="shared" si="1"/>
        <v>3750</v>
      </c>
      <c r="I14" s="61">
        <f t="shared" si="2"/>
        <v>3750</v>
      </c>
    </row>
    <row r="15" spans="1:9" x14ac:dyDescent="0.15">
      <c r="A15" s="49" t="s">
        <v>26</v>
      </c>
      <c r="B15" s="49"/>
      <c r="C15" s="61">
        <f>C11-C12-C14</f>
        <v>3750</v>
      </c>
      <c r="E15" s="49">
        <v>300</v>
      </c>
      <c r="F15" s="61">
        <v>9000</v>
      </c>
      <c r="G15" s="61">
        <f t="shared" si="0"/>
        <v>2500</v>
      </c>
      <c r="H15" s="61">
        <f t="shared" si="1"/>
        <v>4000</v>
      </c>
      <c r="I15" s="61">
        <f t="shared" si="2"/>
        <v>5000</v>
      </c>
    </row>
    <row r="16" spans="1:9" x14ac:dyDescent="0.15">
      <c r="A16" s="49"/>
      <c r="B16" s="49"/>
      <c r="C16" s="49"/>
      <c r="E16" s="49">
        <v>350</v>
      </c>
      <c r="F16" s="61">
        <v>10500</v>
      </c>
      <c r="G16" s="61">
        <f t="shared" si="0"/>
        <v>2500</v>
      </c>
      <c r="H16" s="61">
        <f t="shared" si="1"/>
        <v>4250</v>
      </c>
      <c r="I16" s="61">
        <f t="shared" si="2"/>
        <v>6250</v>
      </c>
    </row>
    <row r="17" spans="1:9" x14ac:dyDescent="0.15">
      <c r="A17" s="49" t="s">
        <v>23</v>
      </c>
      <c r="B17" s="49"/>
      <c r="C17" s="61">
        <f>C14/(B11-B12)</f>
        <v>100</v>
      </c>
      <c r="E17" s="49">
        <v>400</v>
      </c>
      <c r="F17" s="61">
        <v>12000</v>
      </c>
      <c r="G17" s="61">
        <f t="shared" si="0"/>
        <v>2500</v>
      </c>
      <c r="H17" s="61">
        <f t="shared" si="1"/>
        <v>4500</v>
      </c>
      <c r="I17" s="61">
        <f t="shared" si="2"/>
        <v>7500</v>
      </c>
    </row>
    <row r="18" spans="1:9" x14ac:dyDescent="0.15">
      <c r="E18" s="49">
        <v>450</v>
      </c>
      <c r="F18" s="61">
        <v>13500</v>
      </c>
      <c r="G18" s="61">
        <f t="shared" si="0"/>
        <v>2500</v>
      </c>
      <c r="H18" s="61">
        <f t="shared" si="1"/>
        <v>4750</v>
      </c>
      <c r="I18" s="61">
        <f t="shared" si="2"/>
        <v>8750</v>
      </c>
    </row>
    <row r="19" spans="1:9" x14ac:dyDescent="0.15">
      <c r="E19" s="49">
        <v>500</v>
      </c>
      <c r="F19" s="61">
        <v>15000</v>
      </c>
      <c r="G19" s="61">
        <f t="shared" si="0"/>
        <v>2500</v>
      </c>
      <c r="H19" s="61">
        <f t="shared" si="1"/>
        <v>5000</v>
      </c>
      <c r="I19" s="61">
        <f t="shared" si="2"/>
        <v>10000</v>
      </c>
    </row>
    <row r="20" spans="1:9" x14ac:dyDescent="0.15">
      <c r="E20" s="49">
        <v>550</v>
      </c>
      <c r="F20" s="61">
        <v>16500</v>
      </c>
      <c r="G20" s="61">
        <f t="shared" si="0"/>
        <v>2500</v>
      </c>
      <c r="H20" s="61">
        <f t="shared" si="1"/>
        <v>5250</v>
      </c>
      <c r="I20" s="61">
        <f t="shared" si="2"/>
        <v>11250</v>
      </c>
    </row>
    <row r="21" spans="1:9" x14ac:dyDescent="0.15">
      <c r="B21"/>
      <c r="C21"/>
    </row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-0.249977111117893"/>
  </sheetPr>
  <dimension ref="A1:F23"/>
  <sheetViews>
    <sheetView zoomScale="150" zoomScaleNormal="150" workbookViewId="0">
      <selection activeCell="H15" sqref="H15"/>
    </sheetView>
  </sheetViews>
  <sheetFormatPr baseColWidth="10" defaultColWidth="9.1640625" defaultRowHeight="13" x14ac:dyDescent="0.15"/>
  <cols>
    <col min="1" max="1" width="19.1640625" style="3" customWidth="1"/>
    <col min="2" max="2" width="11" style="3" customWidth="1"/>
    <col min="3" max="3" width="11.83203125" style="3" customWidth="1"/>
    <col min="4" max="4" width="9.1640625" style="3"/>
    <col min="5" max="5" width="8.1640625" style="3" bestFit="1" customWidth="1"/>
    <col min="6" max="16384" width="9.1640625" style="3"/>
  </cols>
  <sheetData>
    <row r="1" spans="1:6" ht="33" customHeight="1" x14ac:dyDescent="0.15">
      <c r="A1" s="72" t="s">
        <v>0</v>
      </c>
      <c r="B1" s="72"/>
      <c r="C1" s="72"/>
    </row>
    <row r="2" spans="1:6" ht="27.75" customHeight="1" x14ac:dyDescent="0.25">
      <c r="A2" s="71" t="s">
        <v>36</v>
      </c>
      <c r="B2" s="71"/>
      <c r="C2" s="71"/>
    </row>
    <row r="3" spans="1:6" ht="23.25" customHeight="1" x14ac:dyDescent="0.15">
      <c r="A3" s="42" t="s">
        <v>37</v>
      </c>
      <c r="B3" s="42" t="s">
        <v>7</v>
      </c>
      <c r="C3" s="42" t="s">
        <v>2</v>
      </c>
      <c r="D3" s="1"/>
    </row>
    <row r="4" spans="1:6" ht="14" x14ac:dyDescent="0.15">
      <c r="A4" s="41" t="s">
        <v>38</v>
      </c>
      <c r="B4" s="41">
        <v>4</v>
      </c>
      <c r="C4" s="81">
        <f>IF(B4&gt;=4, $F$12, $F$11)</f>
        <v>18</v>
      </c>
      <c r="D4" s="1"/>
      <c r="E4" s="73" t="s">
        <v>58</v>
      </c>
      <c r="F4" s="74"/>
    </row>
    <row r="5" spans="1:6" ht="14" x14ac:dyDescent="0.15">
      <c r="A5" s="39" t="s">
        <v>39</v>
      </c>
      <c r="B5" s="39">
        <v>5</v>
      </c>
      <c r="C5" s="81">
        <f t="shared" ref="C5:C23" si="0">IF(B5&gt;=4, $F$12, $F$11)</f>
        <v>18</v>
      </c>
      <c r="D5" s="1"/>
      <c r="E5" s="36" t="s">
        <v>9</v>
      </c>
      <c r="F5" s="38">
        <f>SUMIF(B4:B23,  "&lt;4", C4:C23)</f>
        <v>240</v>
      </c>
    </row>
    <row r="6" spans="1:6" ht="14" x14ac:dyDescent="0.15">
      <c r="A6" s="41" t="s">
        <v>40</v>
      </c>
      <c r="B6" s="39">
        <v>3</v>
      </c>
      <c r="C6" s="81">
        <f t="shared" si="0"/>
        <v>20</v>
      </c>
      <c r="D6" s="1"/>
      <c r="E6" s="36" t="s">
        <v>10</v>
      </c>
      <c r="F6" s="38">
        <f>SUMIF(B4:B23,  "&gt;=4", C4:C23)</f>
        <v>144</v>
      </c>
    </row>
    <row r="7" spans="1:6" ht="14" x14ac:dyDescent="0.15">
      <c r="A7" s="39" t="s">
        <v>41</v>
      </c>
      <c r="B7" s="39">
        <v>3</v>
      </c>
      <c r="C7" s="81">
        <f t="shared" si="0"/>
        <v>20</v>
      </c>
      <c r="D7" s="1"/>
    </row>
    <row r="8" spans="1:6" ht="14" x14ac:dyDescent="0.15">
      <c r="A8" s="41" t="s">
        <v>42</v>
      </c>
      <c r="B8" s="39">
        <v>2</v>
      </c>
      <c r="C8" s="81">
        <f t="shared" si="0"/>
        <v>20</v>
      </c>
      <c r="D8" s="1"/>
    </row>
    <row r="9" spans="1:6" ht="14" x14ac:dyDescent="0.15">
      <c r="A9" s="39" t="s">
        <v>43</v>
      </c>
      <c r="B9" s="39">
        <v>2</v>
      </c>
      <c r="C9" s="81">
        <f t="shared" si="0"/>
        <v>20</v>
      </c>
      <c r="D9" s="1"/>
      <c r="E9"/>
      <c r="F9"/>
    </row>
    <row r="10" spans="1:6" ht="14" x14ac:dyDescent="0.15">
      <c r="A10" s="41" t="s">
        <v>44</v>
      </c>
      <c r="B10" s="39">
        <v>5</v>
      </c>
      <c r="C10" s="81">
        <f t="shared" si="0"/>
        <v>18</v>
      </c>
      <c r="D10" s="1"/>
      <c r="E10" s="37" t="s">
        <v>7</v>
      </c>
      <c r="F10" s="37" t="s">
        <v>8</v>
      </c>
    </row>
    <row r="11" spans="1:6" ht="14" x14ac:dyDescent="0.15">
      <c r="A11" s="39" t="s">
        <v>45</v>
      </c>
      <c r="B11" s="39">
        <v>1</v>
      </c>
      <c r="C11" s="81">
        <f t="shared" si="0"/>
        <v>20</v>
      </c>
      <c r="D11" s="1"/>
      <c r="E11" s="36" t="s">
        <v>9</v>
      </c>
      <c r="F11" s="38">
        <v>20</v>
      </c>
    </row>
    <row r="12" spans="1:6" ht="14" x14ac:dyDescent="0.15">
      <c r="A12" s="41" t="s">
        <v>46</v>
      </c>
      <c r="B12" s="39">
        <v>4</v>
      </c>
      <c r="C12" s="81">
        <f t="shared" si="0"/>
        <v>18</v>
      </c>
      <c r="D12" s="1"/>
      <c r="E12" s="36" t="s">
        <v>10</v>
      </c>
      <c r="F12" s="38">
        <v>18</v>
      </c>
    </row>
    <row r="13" spans="1:6" ht="14" x14ac:dyDescent="0.15">
      <c r="A13" s="39" t="s">
        <v>47</v>
      </c>
      <c r="B13" s="39">
        <v>3</v>
      </c>
      <c r="C13" s="81">
        <f t="shared" si="0"/>
        <v>20</v>
      </c>
      <c r="D13" s="1"/>
    </row>
    <row r="14" spans="1:6" ht="14" x14ac:dyDescent="0.15">
      <c r="A14" s="41" t="s">
        <v>48</v>
      </c>
      <c r="B14" s="41">
        <v>4</v>
      </c>
      <c r="C14" s="81">
        <f t="shared" si="0"/>
        <v>18</v>
      </c>
      <c r="D14" s="1"/>
    </row>
    <row r="15" spans="1:6" ht="14" x14ac:dyDescent="0.15">
      <c r="A15" s="39" t="s">
        <v>49</v>
      </c>
      <c r="B15" s="39">
        <v>5</v>
      </c>
      <c r="C15" s="81">
        <f t="shared" si="0"/>
        <v>18</v>
      </c>
      <c r="D15" s="1"/>
    </row>
    <row r="16" spans="1:6" ht="14" x14ac:dyDescent="0.15">
      <c r="A16" s="41" t="s">
        <v>50</v>
      </c>
      <c r="B16" s="39">
        <v>3</v>
      </c>
      <c r="C16" s="81">
        <f t="shared" si="0"/>
        <v>20</v>
      </c>
      <c r="D16" s="1"/>
    </row>
    <row r="17" spans="1:4" ht="14" x14ac:dyDescent="0.15">
      <c r="A17" s="39" t="s">
        <v>51</v>
      </c>
      <c r="B17" s="39">
        <v>3</v>
      </c>
      <c r="C17" s="81">
        <f t="shared" si="0"/>
        <v>20</v>
      </c>
      <c r="D17" s="1"/>
    </row>
    <row r="18" spans="1:4" ht="14" x14ac:dyDescent="0.15">
      <c r="A18" s="41" t="s">
        <v>52</v>
      </c>
      <c r="B18" s="39">
        <v>2</v>
      </c>
      <c r="C18" s="81">
        <f t="shared" si="0"/>
        <v>20</v>
      </c>
      <c r="D18" s="1"/>
    </row>
    <row r="19" spans="1:4" ht="14" x14ac:dyDescent="0.15">
      <c r="A19" s="39" t="s">
        <v>53</v>
      </c>
      <c r="B19" s="39">
        <v>2</v>
      </c>
      <c r="C19" s="81">
        <f t="shared" si="0"/>
        <v>20</v>
      </c>
    </row>
    <row r="20" spans="1:4" ht="14" x14ac:dyDescent="0.15">
      <c r="A20" s="41" t="s">
        <v>54</v>
      </c>
      <c r="B20" s="39">
        <v>5</v>
      </c>
      <c r="C20" s="81">
        <f t="shared" si="0"/>
        <v>18</v>
      </c>
    </row>
    <row r="21" spans="1:4" ht="14" x14ac:dyDescent="0.15">
      <c r="A21" s="39" t="s">
        <v>55</v>
      </c>
      <c r="B21" s="39">
        <v>1</v>
      </c>
      <c r="C21" s="81">
        <f t="shared" si="0"/>
        <v>20</v>
      </c>
    </row>
    <row r="22" spans="1:4" ht="14" x14ac:dyDescent="0.15">
      <c r="A22" s="41" t="s">
        <v>56</v>
      </c>
      <c r="B22" s="39">
        <v>4</v>
      </c>
      <c r="C22" s="81">
        <f t="shared" si="0"/>
        <v>18</v>
      </c>
    </row>
    <row r="23" spans="1:4" ht="14" x14ac:dyDescent="0.15">
      <c r="A23" s="40" t="s">
        <v>57</v>
      </c>
      <c r="B23" s="40">
        <v>3</v>
      </c>
      <c r="C23" s="81">
        <f t="shared" si="0"/>
        <v>20</v>
      </c>
    </row>
  </sheetData>
  <mergeCells count="3">
    <mergeCell ref="A2:C2"/>
    <mergeCell ref="A1:C1"/>
    <mergeCell ref="E4:F4"/>
  </mergeCells>
  <phoneticPr fontId="17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249977111117893"/>
    <pageSetUpPr autoPageBreaks="0" fitToPage="1"/>
  </sheetPr>
  <dimension ref="A1:J10"/>
  <sheetViews>
    <sheetView zoomScaleNormal="100" workbookViewId="0">
      <selection activeCell="A3" sqref="A3"/>
    </sheetView>
  </sheetViews>
  <sheetFormatPr baseColWidth="10" defaultColWidth="9.1640625" defaultRowHeight="21" customHeight="1" x14ac:dyDescent="0.15"/>
  <cols>
    <col min="1" max="1" width="29.83203125" style="52" customWidth="1"/>
    <col min="2" max="2" width="7.5" style="52" bestFit="1" customWidth="1"/>
    <col min="3" max="3" width="9.1640625" style="52" customWidth="1"/>
    <col min="4" max="4" width="9.1640625" style="52"/>
    <col min="5" max="10" width="9.1640625" style="52" customWidth="1"/>
    <col min="11" max="16384" width="9.1640625" style="52"/>
  </cols>
  <sheetData>
    <row r="1" spans="1:10" ht="36.75" customHeight="1" x14ac:dyDescent="0.15">
      <c r="A1" s="53" t="s">
        <v>32</v>
      </c>
      <c r="B1" s="53" t="s">
        <v>2</v>
      </c>
      <c r="C1" s="1"/>
      <c r="D1" s="1"/>
      <c r="F1" s="1"/>
      <c r="G1" s="1"/>
      <c r="H1" s="1"/>
      <c r="I1" s="1"/>
      <c r="J1" s="1"/>
    </row>
    <row r="2" spans="1:10" ht="21" customHeight="1" x14ac:dyDescent="0.15">
      <c r="A2" s="2" t="s">
        <v>11</v>
      </c>
      <c r="B2" s="54">
        <v>10</v>
      </c>
      <c r="C2" s="1"/>
      <c r="D2" s="1"/>
      <c r="F2" s="1"/>
      <c r="G2" s="1"/>
      <c r="H2" s="1"/>
      <c r="I2" s="1"/>
      <c r="J2" s="1"/>
    </row>
    <row r="3" spans="1:10" ht="21" customHeight="1" x14ac:dyDescent="0.15">
      <c r="A3" s="2" t="s">
        <v>13</v>
      </c>
      <c r="B3" s="54">
        <v>25</v>
      </c>
      <c r="C3" s="1"/>
      <c r="D3" s="1"/>
      <c r="F3" s="1"/>
      <c r="G3" s="1"/>
      <c r="H3" s="1"/>
      <c r="I3" s="1"/>
      <c r="J3" s="1"/>
    </row>
    <row r="4" spans="1:10" ht="21" customHeight="1" x14ac:dyDescent="0.15">
      <c r="A4" s="2" t="s">
        <v>3</v>
      </c>
      <c r="B4" s="54">
        <v>25</v>
      </c>
      <c r="C4" s="1"/>
      <c r="D4" s="1"/>
    </row>
    <row r="5" spans="1:10" ht="21" customHeight="1" x14ac:dyDescent="0.15">
      <c r="A5" s="2" t="s">
        <v>14</v>
      </c>
      <c r="B5" s="54">
        <v>10</v>
      </c>
      <c r="C5" s="1"/>
      <c r="D5" s="1"/>
    </row>
    <row r="6" spans="1:10" ht="21" customHeight="1" x14ac:dyDescent="0.15">
      <c r="A6" s="2" t="s">
        <v>18</v>
      </c>
      <c r="B6" s="54">
        <v>15</v>
      </c>
      <c r="C6" s="1"/>
      <c r="D6" s="1"/>
    </row>
    <row r="7" spans="1:10" ht="21" customHeight="1" x14ac:dyDescent="0.15">
      <c r="A7" s="2" t="s">
        <v>12</v>
      </c>
      <c r="B7" s="54">
        <v>25</v>
      </c>
      <c r="C7" s="1"/>
      <c r="D7" s="1"/>
    </row>
    <row r="8" spans="1:10" ht="21" customHeight="1" x14ac:dyDescent="0.15">
      <c r="A8" s="2" t="s">
        <v>17</v>
      </c>
      <c r="B8" s="54">
        <v>10</v>
      </c>
      <c r="C8" s="1"/>
      <c r="D8" s="1"/>
      <c r="J8" s="1"/>
    </row>
    <row r="9" spans="1:10" ht="21" customHeight="1" x14ac:dyDescent="0.15">
      <c r="A9" s="2" t="s">
        <v>15</v>
      </c>
      <c r="B9" s="54">
        <v>10</v>
      </c>
      <c r="C9" s="1"/>
      <c r="D9" s="1"/>
      <c r="J9" s="1"/>
    </row>
    <row r="10" spans="1:10" ht="21" customHeight="1" x14ac:dyDescent="0.15">
      <c r="A10" s="2" t="s">
        <v>16</v>
      </c>
      <c r="B10" s="54">
        <v>10</v>
      </c>
      <c r="C10" s="1"/>
      <c r="D10" s="1"/>
    </row>
  </sheetData>
  <sortState xmlns:xlrd2="http://schemas.microsoft.com/office/spreadsheetml/2017/richdata2" ref="A2:A10">
    <sortCondition ref="A2:A10"/>
  </sortState>
  <pageMargins left="0.4" right="0.4" top="0.4" bottom="0.4" header="0.3" footer="0.3"/>
  <pageSetup scale="55" fitToHeight="0" orientation="portrait" r:id="rId1"/>
  <headerFooter differentFirst="1"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d2abd38f-6d5a-473d-b1ba-4829743c656b" xsi:nil="true"/>
    <Process xmlns="d2abd38f-6d5a-473d-b1ba-4829743c656b" xsi:nil="true"/>
    <TaxCatchAll xmlns="59d4ac86-31f8-4cd3-8d96-c5f03de7de39" xsi:nil="true"/>
    <lcf76f155ced4ddcb4097134ff3c332f xmlns="d2abd38f-6d5a-473d-b1ba-4829743c656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1191214793DB46A34E2E7DB15AFA8E" ma:contentTypeVersion="15" ma:contentTypeDescription="Create a new document." ma:contentTypeScope="" ma:versionID="5331cddcf6220ef1ddc3181d6a288a5b">
  <xsd:schema xmlns:xsd="http://www.w3.org/2001/XMLSchema" xmlns:xs="http://www.w3.org/2001/XMLSchema" xmlns:p="http://schemas.microsoft.com/office/2006/metadata/properties" xmlns:ns2="d2abd38f-6d5a-473d-b1ba-4829743c656b" xmlns:ns3="59d4ac86-31f8-4cd3-8d96-c5f03de7de39" targetNamespace="http://schemas.microsoft.com/office/2006/metadata/properties" ma:root="true" ma:fieldsID="8eb064515aa35fd5aa3f9257aa49d970" ns2:_="" ns3:_="">
    <xsd:import namespace="d2abd38f-6d5a-473d-b1ba-4829743c656b"/>
    <xsd:import namespace="59d4ac86-31f8-4cd3-8d96-c5f03de7de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Notes" minOccurs="0"/>
                <xsd:element ref="ns2:Proces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bd38f-6d5a-473d-b1ba-4829743c65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tes" ma:index="12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Process" ma:index="13" nillable="true" ma:displayName="Label" ma:format="Dropdown" ma:internalName="Process">
      <xsd:simpleType>
        <xsd:union memberTypes="dms:Text">
          <xsd:simpleType>
            <xsd:restriction base="dms:Choice">
              <xsd:enumeration value="Initial Files"/>
              <xsd:enumeration value="1st Draft"/>
              <xsd:enumeration value="1st Pass"/>
              <xsd:enumeration value="2nd Pass"/>
              <xsd:enumeration value="3rd Pass"/>
              <xsd:enumeration value="4th Pass"/>
              <xsd:enumeration value="Final Files"/>
              <xsd:enumeration value="Preliminary Updates"/>
              <xsd:enumeration value="Final Content Updates"/>
              <xsd:enumeration value="Planning Phase"/>
              <xsd:enumeration value="Content MS Dev."/>
              <xsd:enumeration value="Resources"/>
            </xsd:restriction>
          </xsd:simpleType>
        </xsd:un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b8617a1-beef-4e24-867f-51551f54cf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d4ac86-31f8-4cd3-8d96-c5f03de7de39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f06298a-bbd6-4efa-bf2d-e2609ed4a25c}" ma:internalName="TaxCatchAll" ma:showField="CatchAllData" ma:web="59d4ac86-31f8-4cd3-8d96-c5f03de7de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83DE32-BDA1-49E3-B383-19D5E0A52A6C}">
  <ds:schemaRefs>
    <ds:schemaRef ds:uri="http://schemas.microsoft.com/office/2006/metadata/properties"/>
    <ds:schemaRef ds:uri="http://schemas.microsoft.com/office/infopath/2007/PartnerControls"/>
    <ds:schemaRef ds:uri="d2abd38f-6d5a-473d-b1ba-4829743c656b"/>
    <ds:schemaRef ds:uri="59d4ac86-31f8-4cd3-8d96-c5f03de7de39"/>
  </ds:schemaRefs>
</ds:datastoreItem>
</file>

<file path=customXml/itemProps2.xml><?xml version="1.0" encoding="utf-8"?>
<ds:datastoreItem xmlns:ds="http://schemas.openxmlformats.org/officeDocument/2006/customXml" ds:itemID="{2AF29365-32A1-4C34-AEA3-C12D53ACF8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E0835B-18C8-4984-AB7E-EC725451AB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abd38f-6d5a-473d-b1ba-4829743c656b"/>
    <ds:schemaRef ds:uri="59d4ac86-31f8-4cd3-8d96-c5f03de7de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Programs</vt:lpstr>
      <vt:lpstr>CONCAT</vt:lpstr>
      <vt:lpstr>ProgramBE</vt:lpstr>
      <vt:lpstr>Day Care</vt:lpstr>
      <vt:lpstr>Fees List</vt:lpstr>
      <vt:lpstr>Age</vt:lpstr>
      <vt:lpstr>Fee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2014-09-05T21:25:49Z</dcterms:created>
  <dcterms:modified xsi:type="dcterms:W3CDTF">2026-09-28T03:45:03Z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0x010100461191214793DB46A34E2E7DB15AFA8E</vt:lpwstr>
  </property>
</Properties>
</file>